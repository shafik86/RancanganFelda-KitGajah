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IzwanSYSTEC\NASA DEF\Projek Gajah - Farmguard\Felda - HQ\"/>
    </mc:Choice>
  </mc:AlternateContent>
  <xr:revisionPtr revIDLastSave="0" documentId="13_ncr:1_{203E70DC-D9E9-478E-83FA-CDB2AA307E4F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Tracking" sheetId="1" r:id="rId1"/>
  </sheets>
  <definedNames>
    <definedName name="_xlnm._FilterDatabase" localSheetId="0" hidden="1">Tracking!$A$4:$L$46</definedName>
    <definedName name="_xlnm.Print_Titles" localSheetId="0">Tracking!$4:$4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</calcChain>
</file>

<file path=xl/sharedStrings.xml><?xml version="1.0" encoding="utf-8"?>
<sst xmlns="http://schemas.openxmlformats.org/spreadsheetml/2006/main" count="194" uniqueCount="109">
  <si>
    <t>TRACKING PEMBEKALAN KIT GAJAH FELDA 2026</t>
  </si>
  <si>
    <t>Kuantiti ikut Lampiran 1, Memo Pemindahan Bajet (Agihan kepada Rancangan)</t>
  </si>
  <si>
    <t>WILAYAH</t>
  </si>
  <si>
    <t>BIL.</t>
  </si>
  <si>
    <t>RANCANGAN</t>
  </si>
  <si>
    <t>SM MAMMOTH @ FARM GUARD</t>
  </si>
  <si>
    <t>WALKIE TALKIE</t>
  </si>
  <si>
    <t>HAILER</t>
  </si>
  <si>
    <t>BLINKER</t>
  </si>
  <si>
    <t>CONTACT PERSON</t>
  </si>
  <si>
    <t>NO. TEL</t>
  </si>
  <si>
    <t>ALAMAT</t>
  </si>
  <si>
    <t>STATUS</t>
  </si>
  <si>
    <t>CATATAN</t>
  </si>
  <si>
    <t>JOHOR BAHRU</t>
  </si>
  <si>
    <t>AIR TAWAR 01</t>
  </si>
  <si>
    <t>Belum ada permintaan</t>
  </si>
  <si>
    <t>AIR TAWAR 02</t>
  </si>
  <si>
    <t>AIR TAWAR 04</t>
  </si>
  <si>
    <t>LOK HENG TIMUR</t>
  </si>
  <si>
    <t>LOK HENG BARAT</t>
  </si>
  <si>
    <t>PASAK</t>
  </si>
  <si>
    <t>TENGGAROH 01</t>
  </si>
  <si>
    <t>TENGGAROH 02</t>
  </si>
  <si>
    <t>ENDAU</t>
  </si>
  <si>
    <t>TENGGAROH SELATAN 01</t>
  </si>
  <si>
    <t>SEGAMAT</t>
  </si>
  <si>
    <t>NITAR 02</t>
  </si>
  <si>
    <t>Izzati Aqilah (Pejabat FELDA Wilayah Segamat)</t>
  </si>
  <si>
    <t>+60 11-1650 3605</t>
  </si>
  <si>
    <t>Pejabat FELDA Wilayah Segamat, Km5, Jalan Genuang, Bandar Segamat Baru, 85000 Segamat, Johor</t>
  </si>
  <si>
    <t>KAHANG BARAT</t>
  </si>
  <si>
    <t>KAHANG TIMUR</t>
  </si>
  <si>
    <t>ULU DENGAR</t>
  </si>
  <si>
    <t>BUKIT TONGKAT</t>
  </si>
  <si>
    <t>AYER HITAM</t>
  </si>
  <si>
    <t>TROLAK</t>
  </si>
  <si>
    <t>LASAH</t>
  </si>
  <si>
    <t>Mohammad Fadzil (Pengurus FELDA Lasah)</t>
  </si>
  <si>
    <t>+60 19-953 9544</t>
  </si>
  <si>
    <t>BERSIA</t>
  </si>
  <si>
    <t>Abdul Ghafar (Pengurus FELDA Bersia)</t>
  </si>
  <si>
    <t>+60 13-945 6335</t>
  </si>
  <si>
    <t>Pejabat FELDA Bersia, 33320 Gerik, Perak Darul Ridzuan</t>
  </si>
  <si>
    <t>KUANTAN</t>
  </si>
  <si>
    <t>BUKIT SAGU 01</t>
  </si>
  <si>
    <t>Siti Nursyazwina (AO FELDA Wilayah Kuantan)</t>
  </si>
  <si>
    <t>+60 13-282 6253</t>
  </si>
  <si>
    <t>Pengarah Wilayah, FELDA Wilayah Kuantan, Bandar Indera Mahkota, 25200 Kuantan, Pahang</t>
  </si>
  <si>
    <t>BUKIT SAGU 2/3</t>
  </si>
  <si>
    <t>BUKIT KUANTAN</t>
  </si>
  <si>
    <t>LEPAR UTARA 01</t>
  </si>
  <si>
    <t>LEPAR UTARA 02&amp;04</t>
  </si>
  <si>
    <t>SG PANCHING UTARA</t>
  </si>
  <si>
    <t>SG PANCHING SELATAN</t>
  </si>
  <si>
    <t>TERENGGANU</t>
  </si>
  <si>
    <t>NERAM 01</t>
  </si>
  <si>
    <t>CHERUL 1/2</t>
  </si>
  <si>
    <t>En Zul (FELDA Cherul)</t>
  </si>
  <si>
    <t>+60 14-542 3320</t>
  </si>
  <si>
    <t>NERAM 02</t>
  </si>
  <si>
    <t>CHALOK BARAT</t>
  </si>
  <si>
    <t>GUA MUSANG</t>
  </si>
  <si>
    <t>CHIKU 01</t>
  </si>
  <si>
    <t>Pn Khairul Izzah (izzah.ah@felda.gov.my)</t>
  </si>
  <si>
    <t>+60 18-400 0128</t>
  </si>
  <si>
    <t>FELDA Chiku 01, FELDA Wilayah Gua Musang</t>
  </si>
  <si>
    <t>CHIKU 03</t>
  </si>
  <si>
    <t>FELDA Chiku 03, FELDA Wilayah Gua Musang</t>
  </si>
  <si>
    <t>PERASU</t>
  </si>
  <si>
    <t>FELDA Perasu, FELDA Wilayah Gua Musang</t>
  </si>
  <si>
    <t>JENGKA</t>
  </si>
  <si>
    <t>KOTA GELANGGI 3</t>
  </si>
  <si>
    <t>Nashrul (FELDA Wilayah Jengka)</t>
  </si>
  <si>
    <t>+60 14-826 8464</t>
  </si>
  <si>
    <t>KOTA GELANGGI 4</t>
  </si>
  <si>
    <t>Wani (Kerani FELDA Kota Gelanggi 4); PIC: Zaini</t>
  </si>
  <si>
    <t>+60 14-811 2024</t>
  </si>
  <si>
    <t>Pejabat FELDA Kota Gelanggi 4</t>
  </si>
  <si>
    <t>SUNGAI RETANG</t>
  </si>
  <si>
    <t>PADANG PIOL</t>
  </si>
  <si>
    <t>SAHABAT</t>
  </si>
  <si>
    <t>UMAS 01</t>
  </si>
  <si>
    <t>UMAS 02</t>
  </si>
  <si>
    <t>UMAS 03</t>
  </si>
  <si>
    <t>KALABAKAN</t>
  </si>
  <si>
    <t>SAHABAT 01</t>
  </si>
  <si>
    <t>SAHABAT 02</t>
  </si>
  <si>
    <t>JUMLAH</t>
  </si>
  <si>
    <t>Quotation siap (draf) - belum dihantar</t>
  </si>
  <si>
    <t>Minta harga seunit 4 item (SM Mammoth, Walkie Talkie, Hailer, Blinker). Buat ikut rancangan. | Rujukan: ND/FWSG/Q/2026-10191</t>
  </si>
  <si>
    <t>Minta harga seunit 4 item (SM Mammoth, Walkie Talkie, Hailer, Blinker). Buat ikut rancangan. | Rujukan: ND/FWSG/Q/2026-10192</t>
  </si>
  <si>
    <t>Minta harga seunit 4 item (SM Mammoth, Walkie Talkie, Hailer, Blinker). Buat ikut rancangan. | Rujukan: ND/FWSG/Q/2026-10193</t>
  </si>
  <si>
    <t>Minta harga seunit 4 item (SM Mammoth, Walkie Talkie, Hailer, Blinker). Buat ikut rancangan. | Rujukan: ND/FWSG/Q/2026-10194</t>
  </si>
  <si>
    <t>Minta harga seunit 4 item (SM Mammoth, Walkie Talkie, Hailer, Blinker). Buat ikut rancangan. | Rujukan: ND/FWSG/Q/2026-10195</t>
  </si>
  <si>
    <t>Minta harga seunit 4 item (SM Mammoth, Walkie Talkie, Hailer, Blinker). Buat ikut rancangan. | Rujukan: ND/FWSG/Q/2026-10196</t>
  </si>
  <si>
    <t>Quotation NASA DEF siap (draf) - belum dihantar</t>
  </si>
  <si>
    <t>Minta quotation SM Mammoth 2, Blinker 3. Minta 3 vendor. Hantar quotation melalui WhatsApp. | Rujukan: ND/FLSH/Q/2026-10191 (NASA DEF sahaja)</t>
  </si>
  <si>
    <t>Minta quotation ikut screenshot: SM Mammoth 4, Walkie Talkie 2, Hailer 1, Blinker 3. | Rujukan: ND/FBRS/Q/2026-10191</t>
  </si>
  <si>
    <t>Borang siap diisi (draf) - belum dihantar</t>
  </si>
  <si>
    <t>Minta isi BORANG SEBUT HARGA KIT GAJAH.xls (satu helaian bagi setiap rancangan). | Rujukan: BORANG SEBUT HARGA KIT GAJAH - NASA DEF.xls</t>
  </si>
  <si>
    <t>Bertanya tentang SM Mammoth. Beri quotation sahaja. | Rujukan: ND/FCRL/Q/2026-10191</t>
  </si>
  <si>
    <t>Minta quotation ikut rancangan, SM Mammoth/FarmGuard sahaja (2 unit), untuk permohonan aset. Delivery RM50/unit. Quotation gabungan (1 unit) dah dibuat 18/10/2026. | Rujukan: ND/FWGM/Q/2026-10191</t>
  </si>
  <si>
    <t>Minta quotation ikut rancangan, SM Mammoth/FarmGuard sahaja (2 unit), untuk permohonan aset. Delivery RM50/unit. Quotation gabungan (1 unit) dah dibuat 18/10/2026. | Rujukan: ND/FWGM/Q/2026-10192</t>
  </si>
  <si>
    <t>Minta quotation ikut rancangan, SM Mammoth/FarmGuard sahaja (2 unit), untuk permohonan aset. Delivery RM50/unit. Quotation gabungan (1 unit) dah dibuat 18/10/2026. | Rujukan: ND/FWGM/Q/2026-10193</t>
  </si>
  <si>
    <t>Minta sebut harga SM Mammoth/FarmGuard sahaja dulu, untuk permohonan no. aset peringkat HQ. | Rujukan: ND/FWJK/Q/2026-10191</t>
  </si>
  <si>
    <t>Kerani minta quotation: SM Mammoth 3, Walkie Talkie 2, Blinker 3. Termasuk juga dalam permintaan Wilayah Jengka (Nashrul, +60 14-826 8464): Minta sebut harga SM Mammoth/FarmGuard sahaja dulu, untuk permohonan no. aset peringkat HQ. | Rujukan: ND/FWJK/Q/2026-10192 (Wilayah, FarmGuard sahaja) + ND/FKG4/Q/2026-10191 (Kerani KG4)</t>
  </si>
  <si>
    <t>Minta sebut harga SM Mammoth/FarmGuard sahaja dulu, untuk permohonan no. aset peringkat HQ. | Rujukan: ND/FWJK/Q/2026-10193</t>
  </si>
  <si>
    <t>Minta sebut harga SM Mammoth/FarmGuard sahaja dulu, untuk permohonan no. aset peringkat HQ. | Rujukan: ND/FWJK/Q/2026-10194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</si>
</sst>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20292C"/>
      <name val="Segoe UI"/>
    </font>
    <font>
      <i/>
      <sz val="9"/>
      <color rgb="FF66726F"/>
      <name val="Segoe UI"/>
    </font>
    <font>
      <b/>
      <sz val="9"/>
      <color rgb="FFFFFFFF"/>
      <name val="Segoe UI"/>
    </font>
    <font>
      <b/>
      <sz val="9"/>
      <color rgb="FF20292C"/>
      <name val="Segoe UI"/>
    </font>
    <font>
      <sz val="9"/>
      <color rgb="FF20292C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0292C"/>
      </patternFill>
    </fill>
    <fill>
      <patternFill patternType="solid">
        <fgColor rgb="FF097969"/>
      </patternFill>
    </fill>
    <fill>
      <patternFill patternType="solid">
        <fgColor rgb="FFFFF2CC"/>
      </patternFill>
    </fill>
    <fill>
      <patternFill patternType="solid">
        <fgColor rgb="FFEEF5F3"/>
      </patternFill>
    </fill>
  </fills>
  <borders count="4">
    <border>
      <left/>
      <right/>
      <top/>
      <bottom/>
      <diagonal/>
    </border>
    <border>
      <left style="thin">
        <color rgb="FFC9D3D1"/>
      </left>
      <right style="thin">
        <color rgb="FFC9D3D1"/>
      </right>
      <top style="thin">
        <color rgb="FFC9D3D1"/>
      </top>
      <bottom style="thin">
        <color rgb="FFC9D3D1"/>
      </bottom>
      <diagonal/>
    </border>
    <border>
      <left style="thin">
        <color rgb="FFC9D3D1"/>
      </left>
      <right style="thin">
        <color rgb="FFC9D3D1"/>
      </right>
      <top/>
      <bottom/>
      <diagonal/>
    </border>
    <border>
      <left style="thin">
        <color rgb="FFC9D3D1"/>
      </left>
      <right style="thin">
        <color rgb="FFC9D3D1"/>
      </right>
      <top/>
      <bottom style="thin">
        <color rgb="FFC9D3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abSelected="1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6" customWidth="1"/>
    <col min="3" max="3" width="24" customWidth="1"/>
    <col min="4" max="4" width="13" customWidth="1"/>
    <col min="5" max="5" width="10" customWidth="1"/>
    <col min="6" max="7" width="9" customWidth="1"/>
    <col min="8" max="8" width="34" customWidth="1"/>
    <col min="9" max="9" width="17" customWidth="1"/>
    <col min="10" max="10" width="44" customWidth="1"/>
    <col min="11" max="11" width="30" customWidth="1"/>
    <col min="12" max="12" width="60" customWidth="1"/>
  </cols>
  <sheetData>
    <row r="1" spans="1:12" ht="18.75" x14ac:dyDescent="0.35">
      <c r="A1" s="1" t="s">
        <v>0</v>
      </c>
    </row>
    <row r="2" spans="1:12" x14ac:dyDescent="0.25">
      <c r="A2" s="2" t="s">
        <v>1</v>
      </c>
    </row>
    <row r="4" spans="1:12" ht="44.1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15.95" customHeight="1" x14ac:dyDescent="0.25">
      <c r="A5" s="9" t="s">
        <v>14</v>
      </c>
      <c r="B5" s="5">
        <v>1</v>
      </c>
      <c r="C5" s="6" t="s">
        <v>15</v>
      </c>
      <c r="D5" s="5">
        <v>0</v>
      </c>
      <c r="E5" s="5">
        <v>2</v>
      </c>
      <c r="F5" s="5">
        <v>1</v>
      </c>
      <c r="G5" s="5">
        <v>3</v>
      </c>
      <c r="H5" s="6"/>
      <c r="I5" s="6"/>
      <c r="J5" s="6"/>
      <c r="K5" s="6" t="s">
        <v>16</v>
      </c>
      <c r="L5" s="6"/>
    </row>
    <row r="6" spans="1:12" ht="15.95" customHeight="1" x14ac:dyDescent="0.25">
      <c r="A6" s="10"/>
      <c r="B6" s="5">
        <v>2</v>
      </c>
      <c r="C6" s="6" t="s">
        <v>17</v>
      </c>
      <c r="D6" s="5">
        <v>0</v>
      </c>
      <c r="E6" s="5">
        <v>2</v>
      </c>
      <c r="F6" s="5">
        <v>1</v>
      </c>
      <c r="G6" s="5">
        <v>3</v>
      </c>
      <c r="H6" s="6"/>
      <c r="I6" s="6"/>
      <c r="J6" s="6"/>
      <c r="K6" s="6" t="s">
        <v>16</v>
      </c>
      <c r="L6" s="6"/>
    </row>
    <row r="7" spans="1:12" ht="15.95" customHeight="1" x14ac:dyDescent="0.25">
      <c r="A7" s="10"/>
      <c r="B7" s="5">
        <v>3</v>
      </c>
      <c r="C7" s="6" t="s">
        <v>18</v>
      </c>
      <c r="D7" s="5">
        <v>3</v>
      </c>
      <c r="E7" s="5">
        <v>2</v>
      </c>
      <c r="F7" s="5">
        <v>1</v>
      </c>
      <c r="G7" s="5">
        <v>3</v>
      </c>
      <c r="H7" s="6"/>
      <c r="I7" s="6"/>
      <c r="J7" s="6"/>
      <c r="K7" s="6" t="s">
        <v>16</v>
      </c>
      <c r="L7" s="6"/>
    </row>
    <row r="8" spans="1:12" ht="15.95" customHeight="1" x14ac:dyDescent="0.25">
      <c r="A8" s="10"/>
      <c r="B8" s="5">
        <v>4</v>
      </c>
      <c r="C8" s="6" t="s">
        <v>19</v>
      </c>
      <c r="D8" s="5">
        <v>0</v>
      </c>
      <c r="E8" s="5">
        <v>2</v>
      </c>
      <c r="F8" s="5">
        <v>1</v>
      </c>
      <c r="G8" s="5">
        <v>3</v>
      </c>
      <c r="H8" s="6"/>
      <c r="I8" s="6"/>
      <c r="J8" s="6"/>
      <c r="K8" s="6" t="s">
        <v>16</v>
      </c>
      <c r="L8" s="6"/>
    </row>
    <row r="9" spans="1:12" ht="15.95" customHeight="1" x14ac:dyDescent="0.25">
      <c r="A9" s="10"/>
      <c r="B9" s="5">
        <v>5</v>
      </c>
      <c r="C9" s="6" t="s">
        <v>20</v>
      </c>
      <c r="D9" s="5">
        <v>0</v>
      </c>
      <c r="E9" s="5">
        <v>0</v>
      </c>
      <c r="F9" s="5">
        <v>0</v>
      </c>
      <c r="G9" s="5">
        <v>3</v>
      </c>
      <c r="H9" s="6"/>
      <c r="I9" s="6"/>
      <c r="J9" s="6"/>
      <c r="K9" s="6" t="s">
        <v>16</v>
      </c>
      <c r="L9" s="6"/>
    </row>
    <row r="10" spans="1:12" ht="15.95" customHeight="1" x14ac:dyDescent="0.25">
      <c r="A10" s="10"/>
      <c r="B10" s="5">
        <v>6</v>
      </c>
      <c r="C10" s="6" t="s">
        <v>21</v>
      </c>
      <c r="D10" s="5">
        <v>2</v>
      </c>
      <c r="E10" s="5">
        <v>0</v>
      </c>
      <c r="F10" s="5">
        <v>1</v>
      </c>
      <c r="G10" s="5">
        <v>3</v>
      </c>
      <c r="H10" s="6"/>
      <c r="I10" s="6"/>
      <c r="J10" s="6"/>
      <c r="K10" s="6" t="s">
        <v>16</v>
      </c>
      <c r="L10" s="6"/>
    </row>
    <row r="11" spans="1:12" ht="15.95" customHeight="1" x14ac:dyDescent="0.25">
      <c r="A11" s="10"/>
      <c r="B11" s="5">
        <v>7</v>
      </c>
      <c r="C11" s="6" t="s">
        <v>22</v>
      </c>
      <c r="D11" s="5">
        <v>3</v>
      </c>
      <c r="E11" s="5">
        <v>2</v>
      </c>
      <c r="F11" s="5">
        <v>1</v>
      </c>
      <c r="G11" s="5">
        <v>3</v>
      </c>
      <c r="H11" s="6"/>
      <c r="I11" s="6"/>
      <c r="J11" s="6"/>
      <c r="K11" s="6" t="s">
        <v>16</v>
      </c>
      <c r="L11" s="6"/>
    </row>
    <row r="12" spans="1:12" ht="15.95" customHeight="1" x14ac:dyDescent="0.25">
      <c r="A12" s="10"/>
      <c r="B12" s="5">
        <v>8</v>
      </c>
      <c r="C12" s="6" t="s">
        <v>23</v>
      </c>
      <c r="D12" s="5">
        <v>3</v>
      </c>
      <c r="E12" s="5">
        <v>2</v>
      </c>
      <c r="F12" s="5">
        <v>1</v>
      </c>
      <c r="G12" s="5">
        <v>3</v>
      </c>
      <c r="H12" s="6"/>
      <c r="I12" s="6"/>
      <c r="J12" s="6"/>
      <c r="K12" s="6" t="s">
        <v>16</v>
      </c>
      <c r="L12" s="6"/>
    </row>
    <row r="13" spans="1:12" ht="15.95" customHeight="1" x14ac:dyDescent="0.25">
      <c r="A13" s="10"/>
      <c r="B13" s="5">
        <v>9</v>
      </c>
      <c r="C13" s="6" t="s">
        <v>24</v>
      </c>
      <c r="D13" s="5">
        <v>3</v>
      </c>
      <c r="E13" s="5">
        <v>2</v>
      </c>
      <c r="F13" s="5">
        <v>1</v>
      </c>
      <c r="G13" s="5">
        <v>3</v>
      </c>
      <c r="H13" s="6"/>
      <c r="I13" s="6"/>
      <c r="J13" s="6"/>
      <c r="K13" s="6" t="s">
        <v>16</v>
      </c>
      <c r="L13" s="6"/>
    </row>
    <row r="14" spans="1:12" ht="15.95" customHeight="1" x14ac:dyDescent="0.25">
      <c r="A14" s="11"/>
      <c r="B14" s="5">
        <v>10</v>
      </c>
      <c r="C14" s="6" t="s">
        <v>25</v>
      </c>
      <c r="D14" s="5">
        <v>2</v>
      </c>
      <c r="E14" s="5">
        <v>2</v>
      </c>
      <c r="F14" s="5">
        <v>1</v>
      </c>
      <c r="G14" s="5">
        <v>3</v>
      </c>
      <c r="H14" s="6"/>
      <c r="I14" s="6"/>
      <c r="J14" s="6"/>
      <c r="K14" s="6" t="s">
        <v>16</v>
      </c>
      <c r="L14" s="6"/>
    </row>
    <row r="15" spans="1:12" ht="27" customHeight="1" x14ac:dyDescent="0.25">
      <c r="A15" s="9" t="s">
        <v>26</v>
      </c>
      <c r="B15" s="5">
        <v>11</v>
      </c>
      <c r="C15" s="6" t="s">
        <v>27</v>
      </c>
      <c r="D15" s="5">
        <v>4</v>
      </c>
      <c r="E15" s="5">
        <v>2</v>
      </c>
      <c r="F15" s="5">
        <v>1</v>
      </c>
      <c r="G15" s="5">
        <v>3</v>
      </c>
      <c r="H15" s="6" t="s">
        <v>28</v>
      </c>
      <c r="I15" s="6" t="s">
        <v>29</v>
      </c>
      <c r="J15" s="6" t="s">
        <v>30</v>
      </c>
      <c r="K15" s="7" t="s">
        <v>89</v>
      </c>
      <c r="L15" s="6" t="s">
        <v>90</v>
      </c>
    </row>
    <row r="16" spans="1:12" ht="27" customHeight="1" x14ac:dyDescent="0.25">
      <c r="A16" s="10"/>
      <c r="B16" s="5">
        <v>12</v>
      </c>
      <c r="C16" s="6" t="s">
        <v>31</v>
      </c>
      <c r="D16" s="5">
        <v>3</v>
      </c>
      <c r="E16" s="5">
        <v>2</v>
      </c>
      <c r="F16" s="5">
        <v>1</v>
      </c>
      <c r="G16" s="5">
        <v>3</v>
      </c>
      <c r="H16" s="6" t="s">
        <v>28</v>
      </c>
      <c r="I16" s="6" t="s">
        <v>29</v>
      </c>
      <c r="J16" s="6" t="s">
        <v>30</v>
      </c>
      <c r="K16" s="7" t="s">
        <v>89</v>
      </c>
      <c r="L16" s="6" t="s">
        <v>91</v>
      </c>
    </row>
    <row r="17" spans="1:12" ht="27" customHeight="1" x14ac:dyDescent="0.25">
      <c r="A17" s="10"/>
      <c r="B17" s="5">
        <v>13</v>
      </c>
      <c r="C17" s="6" t="s">
        <v>32</v>
      </c>
      <c r="D17" s="5">
        <v>3</v>
      </c>
      <c r="E17" s="5">
        <v>2</v>
      </c>
      <c r="F17" s="5">
        <v>1</v>
      </c>
      <c r="G17" s="5">
        <v>3</v>
      </c>
      <c r="H17" s="6" t="s">
        <v>28</v>
      </c>
      <c r="I17" s="6" t="s">
        <v>29</v>
      </c>
      <c r="J17" s="6" t="s">
        <v>30</v>
      </c>
      <c r="K17" s="7" t="s">
        <v>89</v>
      </c>
      <c r="L17" s="6" t="s">
        <v>92</v>
      </c>
    </row>
    <row r="18" spans="1:12" ht="27" customHeight="1" x14ac:dyDescent="0.25">
      <c r="A18" s="10"/>
      <c r="B18" s="5">
        <v>14</v>
      </c>
      <c r="C18" s="6" t="s">
        <v>33</v>
      </c>
      <c r="D18" s="5">
        <v>3</v>
      </c>
      <c r="E18" s="5">
        <v>0</v>
      </c>
      <c r="F18" s="5">
        <v>0</v>
      </c>
      <c r="G18" s="5">
        <v>3</v>
      </c>
      <c r="H18" s="6" t="s">
        <v>28</v>
      </c>
      <c r="I18" s="6" t="s">
        <v>29</v>
      </c>
      <c r="J18" s="6" t="s">
        <v>30</v>
      </c>
      <c r="K18" s="7" t="s">
        <v>89</v>
      </c>
      <c r="L18" s="6" t="s">
        <v>93</v>
      </c>
    </row>
    <row r="19" spans="1:12" ht="27" customHeight="1" x14ac:dyDescent="0.25">
      <c r="A19" s="10"/>
      <c r="B19" s="5">
        <v>15</v>
      </c>
      <c r="C19" s="6" t="s">
        <v>34</v>
      </c>
      <c r="D19" s="5">
        <v>3</v>
      </c>
      <c r="E19" s="5">
        <v>2</v>
      </c>
      <c r="F19" s="5">
        <v>1</v>
      </c>
      <c r="G19" s="5">
        <v>3</v>
      </c>
      <c r="H19" s="6" t="s">
        <v>28</v>
      </c>
      <c r="I19" s="6" t="s">
        <v>29</v>
      </c>
      <c r="J19" s="6" t="s">
        <v>30</v>
      </c>
      <c r="K19" s="7" t="s">
        <v>89</v>
      </c>
      <c r="L19" s="6" t="s">
        <v>94</v>
      </c>
    </row>
    <row r="20" spans="1:12" ht="27" customHeight="1" x14ac:dyDescent="0.25">
      <c r="A20" s="11"/>
      <c r="B20" s="5">
        <v>16</v>
      </c>
      <c r="C20" s="6" t="s">
        <v>35</v>
      </c>
      <c r="D20" s="5">
        <v>2</v>
      </c>
      <c r="E20" s="5">
        <v>2</v>
      </c>
      <c r="F20" s="5">
        <v>1</v>
      </c>
      <c r="G20" s="5">
        <v>3</v>
      </c>
      <c r="H20" s="6" t="s">
        <v>28</v>
      </c>
      <c r="I20" s="6" t="s">
        <v>29</v>
      </c>
      <c r="J20" s="6" t="s">
        <v>30</v>
      </c>
      <c r="K20" s="7" t="s">
        <v>89</v>
      </c>
      <c r="L20" s="6" t="s">
        <v>95</v>
      </c>
    </row>
    <row r="21" spans="1:12" ht="39" customHeight="1" x14ac:dyDescent="0.25">
      <c r="A21" s="9" t="s">
        <v>36</v>
      </c>
      <c r="B21" s="5">
        <v>17</v>
      </c>
      <c r="C21" s="6" t="s">
        <v>37</v>
      </c>
      <c r="D21" s="5">
        <v>2</v>
      </c>
      <c r="E21" s="5">
        <v>0</v>
      </c>
      <c r="F21" s="5">
        <v>0</v>
      </c>
      <c r="G21" s="5">
        <v>3</v>
      </c>
      <c r="H21" s="6" t="s">
        <v>38</v>
      </c>
      <c r="I21" s="6" t="s">
        <v>39</v>
      </c>
      <c r="J21" s="6"/>
      <c r="K21" s="7" t="s">
        <v>96</v>
      </c>
      <c r="L21" s="6" t="s">
        <v>97</v>
      </c>
    </row>
    <row r="22" spans="1:12" ht="27" customHeight="1" x14ac:dyDescent="0.25">
      <c r="A22" s="11"/>
      <c r="B22" s="5">
        <v>18</v>
      </c>
      <c r="C22" s="6" t="s">
        <v>40</v>
      </c>
      <c r="D22" s="5">
        <v>4</v>
      </c>
      <c r="E22" s="5">
        <v>2</v>
      </c>
      <c r="F22" s="5">
        <v>1</v>
      </c>
      <c r="G22" s="5">
        <v>3</v>
      </c>
      <c r="H22" s="6" t="s">
        <v>41</v>
      </c>
      <c r="I22" s="6" t="s">
        <v>42</v>
      </c>
      <c r="J22" s="6" t="s">
        <v>43</v>
      </c>
      <c r="K22" s="7" t="s">
        <v>89</v>
      </c>
      <c r="L22" s="6" t="s">
        <v>98</v>
      </c>
    </row>
    <row r="23" spans="1:12" ht="27" customHeight="1" x14ac:dyDescent="0.25">
      <c r="A23" s="9" t="s">
        <v>44</v>
      </c>
      <c r="B23" s="5">
        <v>19</v>
      </c>
      <c r="C23" s="6" t="s">
        <v>45</v>
      </c>
      <c r="D23" s="5">
        <v>4</v>
      </c>
      <c r="E23" s="5">
        <v>0</v>
      </c>
      <c r="F23" s="5">
        <v>0</v>
      </c>
      <c r="G23" s="5">
        <v>3</v>
      </c>
      <c r="H23" s="6" t="s">
        <v>46</v>
      </c>
      <c r="I23" s="6" t="s">
        <v>47</v>
      </c>
      <c r="J23" s="6" t="s">
        <v>48</v>
      </c>
      <c r="K23" s="7" t="s">
        <v>99</v>
      </c>
      <c r="L23" s="6" t="s">
        <v>100</v>
      </c>
    </row>
    <row r="24" spans="1:12" ht="27" customHeight="1" x14ac:dyDescent="0.25">
      <c r="A24" s="10"/>
      <c r="B24" s="5">
        <v>20</v>
      </c>
      <c r="C24" s="6" t="s">
        <v>49</v>
      </c>
      <c r="D24" s="5">
        <v>4</v>
      </c>
      <c r="E24" s="5">
        <v>2</v>
      </c>
      <c r="F24" s="5">
        <v>1</v>
      </c>
      <c r="G24" s="5">
        <v>3</v>
      </c>
      <c r="H24" s="6" t="s">
        <v>46</v>
      </c>
      <c r="I24" s="6" t="s">
        <v>47</v>
      </c>
      <c r="J24" s="6" t="s">
        <v>48</v>
      </c>
      <c r="K24" s="7" t="s">
        <v>99</v>
      </c>
      <c r="L24" s="6" t="s">
        <v>100</v>
      </c>
    </row>
    <row r="25" spans="1:12" ht="27" customHeight="1" x14ac:dyDescent="0.25">
      <c r="A25" s="10"/>
      <c r="B25" s="5">
        <v>21</v>
      </c>
      <c r="C25" s="6" t="s">
        <v>50</v>
      </c>
      <c r="D25" s="5">
        <v>2</v>
      </c>
      <c r="E25" s="5">
        <v>0</v>
      </c>
      <c r="F25" s="5">
        <v>0</v>
      </c>
      <c r="G25" s="5">
        <v>3</v>
      </c>
      <c r="H25" s="6" t="s">
        <v>46</v>
      </c>
      <c r="I25" s="6" t="s">
        <v>47</v>
      </c>
      <c r="J25" s="6" t="s">
        <v>48</v>
      </c>
      <c r="K25" s="7" t="s">
        <v>99</v>
      </c>
      <c r="L25" s="6" t="s">
        <v>100</v>
      </c>
    </row>
    <row r="26" spans="1:12" ht="27" customHeight="1" x14ac:dyDescent="0.25">
      <c r="A26" s="10"/>
      <c r="B26" s="5">
        <v>22</v>
      </c>
      <c r="C26" s="6" t="s">
        <v>51</v>
      </c>
      <c r="D26" s="5">
        <v>3</v>
      </c>
      <c r="E26" s="5">
        <v>2</v>
      </c>
      <c r="F26" s="5">
        <v>1</v>
      </c>
      <c r="G26" s="5">
        <v>3</v>
      </c>
      <c r="H26" s="6" t="s">
        <v>46</v>
      </c>
      <c r="I26" s="6" t="s">
        <v>47</v>
      </c>
      <c r="J26" s="6" t="s">
        <v>48</v>
      </c>
      <c r="K26" s="7" t="s">
        <v>99</v>
      </c>
      <c r="L26" s="6" t="s">
        <v>100</v>
      </c>
    </row>
    <row r="27" spans="1:12" ht="27" customHeight="1" x14ac:dyDescent="0.25">
      <c r="A27" s="10"/>
      <c r="B27" s="5">
        <v>23</v>
      </c>
      <c r="C27" s="6" t="s">
        <v>52</v>
      </c>
      <c r="D27" s="5">
        <v>3</v>
      </c>
      <c r="E27" s="5">
        <v>2</v>
      </c>
      <c r="F27" s="5">
        <v>1</v>
      </c>
      <c r="G27" s="5">
        <v>3</v>
      </c>
      <c r="H27" s="6" t="s">
        <v>46</v>
      </c>
      <c r="I27" s="6" t="s">
        <v>47</v>
      </c>
      <c r="J27" s="6" t="s">
        <v>48</v>
      </c>
      <c r="K27" s="7" t="s">
        <v>99</v>
      </c>
      <c r="L27" s="6" t="s">
        <v>100</v>
      </c>
    </row>
    <row r="28" spans="1:12" ht="27" customHeight="1" x14ac:dyDescent="0.25">
      <c r="A28" s="10"/>
      <c r="B28" s="5">
        <v>24</v>
      </c>
      <c r="C28" s="6" t="s">
        <v>53</v>
      </c>
      <c r="D28" s="5">
        <v>2</v>
      </c>
      <c r="E28" s="5">
        <v>2</v>
      </c>
      <c r="F28" s="5">
        <v>1</v>
      </c>
      <c r="G28" s="5">
        <v>3</v>
      </c>
      <c r="H28" s="6" t="s">
        <v>46</v>
      </c>
      <c r="I28" s="6" t="s">
        <v>47</v>
      </c>
      <c r="J28" s="6" t="s">
        <v>48</v>
      </c>
      <c r="K28" s="7" t="s">
        <v>99</v>
      </c>
      <c r="L28" s="6" t="s">
        <v>100</v>
      </c>
    </row>
    <row r="29" spans="1:12" ht="27" customHeight="1" x14ac:dyDescent="0.25">
      <c r="A29" s="11"/>
      <c r="B29" s="5">
        <v>25</v>
      </c>
      <c r="C29" s="6" t="s">
        <v>54</v>
      </c>
      <c r="D29" s="5">
        <v>2</v>
      </c>
      <c r="E29" s="5">
        <v>2</v>
      </c>
      <c r="F29" s="5">
        <v>1</v>
      </c>
      <c r="G29" s="5">
        <v>3</v>
      </c>
      <c r="H29" s="6" t="s">
        <v>46</v>
      </c>
      <c r="I29" s="6" t="s">
        <v>47</v>
      </c>
      <c r="J29" s="6" t="s">
        <v>48</v>
      </c>
      <c r="K29" s="7" t="s">
        <v>99</v>
      </c>
      <c r="L29" s="6" t="s">
        <v>100</v>
      </c>
    </row>
    <row r="30" spans="1:12" ht="15.95" customHeight="1" x14ac:dyDescent="0.25">
      <c r="A30" s="9" t="s">
        <v>55</v>
      </c>
      <c r="B30" s="5">
        <v>26</v>
      </c>
      <c r="C30" s="6" t="s">
        <v>56</v>
      </c>
      <c r="D30" s="5">
        <v>3</v>
      </c>
      <c r="E30" s="5">
        <v>2</v>
      </c>
      <c r="F30" s="5">
        <v>1</v>
      </c>
      <c r="G30" s="5">
        <v>3</v>
      </c>
      <c r="H30" s="6"/>
      <c r="I30" s="6"/>
      <c r="J30" s="6"/>
      <c r="K30" s="6" t="s">
        <v>16</v>
      </c>
      <c r="L30" s="6"/>
    </row>
    <row r="31" spans="1:12" ht="27" customHeight="1" x14ac:dyDescent="0.25">
      <c r="A31" s="10"/>
      <c r="B31" s="5">
        <v>27</v>
      </c>
      <c r="C31" s="6" t="s">
        <v>57</v>
      </c>
      <c r="D31" s="5">
        <v>4</v>
      </c>
      <c r="E31" s="5">
        <v>0</v>
      </c>
      <c r="F31" s="5">
        <v>0</v>
      </c>
      <c r="G31" s="5">
        <v>3</v>
      </c>
      <c r="H31" s="6" t="s">
        <v>58</v>
      </c>
      <c r="I31" s="6" t="s">
        <v>59</v>
      </c>
      <c r="J31" s="6"/>
      <c r="K31" s="7" t="s">
        <v>89</v>
      </c>
      <c r="L31" s="6" t="s">
        <v>101</v>
      </c>
    </row>
    <row r="32" spans="1:12" ht="15.95" customHeight="1" x14ac:dyDescent="0.25">
      <c r="A32" s="10"/>
      <c r="B32" s="5">
        <v>28</v>
      </c>
      <c r="C32" s="6" t="s">
        <v>60</v>
      </c>
      <c r="D32" s="5">
        <v>3</v>
      </c>
      <c r="E32" s="5">
        <v>2</v>
      </c>
      <c r="F32" s="5">
        <v>1</v>
      </c>
      <c r="G32" s="5">
        <v>3</v>
      </c>
      <c r="H32" s="6"/>
      <c r="I32" s="6"/>
      <c r="J32" s="6"/>
      <c r="K32" s="6" t="s">
        <v>16</v>
      </c>
      <c r="L32" s="6"/>
    </row>
    <row r="33" spans="1:12" ht="15.95" customHeight="1" x14ac:dyDescent="0.25">
      <c r="A33" s="11"/>
      <c r="B33" s="5">
        <v>29</v>
      </c>
      <c r="C33" s="6" t="s">
        <v>61</v>
      </c>
      <c r="D33" s="5">
        <v>2</v>
      </c>
      <c r="E33" s="5">
        <v>2</v>
      </c>
      <c r="F33" s="5">
        <v>1</v>
      </c>
      <c r="G33" s="5">
        <v>3</v>
      </c>
      <c r="H33" s="6"/>
      <c r="I33" s="6"/>
      <c r="J33" s="6"/>
      <c r="K33" s="6" t="s">
        <v>16</v>
      </c>
      <c r="L33" s="6"/>
    </row>
    <row r="34" spans="1:12" ht="39" customHeight="1" x14ac:dyDescent="0.25">
      <c r="A34" s="9" t="s">
        <v>62</v>
      </c>
      <c r="B34" s="5">
        <v>30</v>
      </c>
      <c r="C34" s="6" t="s">
        <v>63</v>
      </c>
      <c r="D34" s="5">
        <v>2</v>
      </c>
      <c r="E34" s="5">
        <v>2</v>
      </c>
      <c r="F34" s="5">
        <v>1</v>
      </c>
      <c r="G34" s="5">
        <v>3</v>
      </c>
      <c r="H34" s="6" t="s">
        <v>64</v>
      </c>
      <c r="I34" s="6" t="s">
        <v>65</v>
      </c>
      <c r="J34" s="6" t="s">
        <v>66</v>
      </c>
      <c r="K34" s="7" t="s">
        <v>89</v>
      </c>
      <c r="L34" s="6" t="s">
        <v>102</v>
      </c>
    </row>
    <row r="35" spans="1:12" ht="39" customHeight="1" x14ac:dyDescent="0.25">
      <c r="A35" s="10"/>
      <c r="B35" s="5">
        <v>31</v>
      </c>
      <c r="C35" s="6" t="s">
        <v>67</v>
      </c>
      <c r="D35" s="5">
        <v>2</v>
      </c>
      <c r="E35" s="5">
        <v>2</v>
      </c>
      <c r="F35" s="5">
        <v>1</v>
      </c>
      <c r="G35" s="5">
        <v>3</v>
      </c>
      <c r="H35" s="6" t="s">
        <v>64</v>
      </c>
      <c r="I35" s="6" t="s">
        <v>65</v>
      </c>
      <c r="J35" s="6" t="s">
        <v>68</v>
      </c>
      <c r="K35" s="7" t="s">
        <v>89</v>
      </c>
      <c r="L35" s="6" t="s">
        <v>103</v>
      </c>
    </row>
    <row r="36" spans="1:12" ht="39" customHeight="1" x14ac:dyDescent="0.25">
      <c r="A36" s="11"/>
      <c r="B36" s="5">
        <v>32</v>
      </c>
      <c r="C36" s="6" t="s">
        <v>69</v>
      </c>
      <c r="D36" s="5">
        <v>2</v>
      </c>
      <c r="E36" s="5">
        <v>2</v>
      </c>
      <c r="F36" s="5">
        <v>1</v>
      </c>
      <c r="G36" s="5">
        <v>3</v>
      </c>
      <c r="H36" s="6" t="s">
        <v>64</v>
      </c>
      <c r="I36" s="6" t="s">
        <v>65</v>
      </c>
      <c r="J36" s="6" t="s">
        <v>70</v>
      </c>
      <c r="K36" s="7" t="s">
        <v>89</v>
      </c>
      <c r="L36" s="6" t="s">
        <v>104</v>
      </c>
    </row>
    <row r="37" spans="1:12" ht="27" customHeight="1" x14ac:dyDescent="0.25">
      <c r="A37" s="9" t="s">
        <v>71</v>
      </c>
      <c r="B37" s="5">
        <v>33</v>
      </c>
      <c r="C37" s="6" t="s">
        <v>72</v>
      </c>
      <c r="D37" s="5">
        <v>3</v>
      </c>
      <c r="E37" s="5">
        <v>2</v>
      </c>
      <c r="F37" s="5">
        <v>1</v>
      </c>
      <c r="G37" s="5">
        <v>3</v>
      </c>
      <c r="H37" s="6" t="s">
        <v>73</v>
      </c>
      <c r="I37" s="6" t="s">
        <v>74</v>
      </c>
      <c r="J37" s="6"/>
      <c r="K37" s="7" t="s">
        <v>89</v>
      </c>
      <c r="L37" s="6" t="s">
        <v>105</v>
      </c>
    </row>
    <row r="38" spans="1:12" ht="63" customHeight="1" x14ac:dyDescent="0.25">
      <c r="A38" s="10"/>
      <c r="B38" s="5">
        <v>34</v>
      </c>
      <c r="C38" s="6" t="s">
        <v>75</v>
      </c>
      <c r="D38" s="5">
        <v>3</v>
      </c>
      <c r="E38" s="5">
        <v>2</v>
      </c>
      <c r="F38" s="5">
        <v>0</v>
      </c>
      <c r="G38" s="5">
        <v>3</v>
      </c>
      <c r="H38" s="6" t="s">
        <v>76</v>
      </c>
      <c r="I38" s="6" t="s">
        <v>77</v>
      </c>
      <c r="J38" s="6" t="s">
        <v>78</v>
      </c>
      <c r="K38" s="7" t="s">
        <v>89</v>
      </c>
      <c r="L38" s="6" t="s">
        <v>106</v>
      </c>
    </row>
    <row r="39" spans="1:12" ht="27" customHeight="1" x14ac:dyDescent="0.25">
      <c r="A39" s="10"/>
      <c r="B39" s="5">
        <v>35</v>
      </c>
      <c r="C39" s="6" t="s">
        <v>79</v>
      </c>
      <c r="D39" s="5">
        <v>3</v>
      </c>
      <c r="E39" s="5">
        <v>0</v>
      </c>
      <c r="F39" s="5">
        <v>1</v>
      </c>
      <c r="G39" s="5">
        <v>3</v>
      </c>
      <c r="H39" s="6" t="s">
        <v>73</v>
      </c>
      <c r="I39" s="6" t="s">
        <v>74</v>
      </c>
      <c r="J39" s="6"/>
      <c r="K39" s="7" t="s">
        <v>89</v>
      </c>
      <c r="L39" s="6" t="s">
        <v>107</v>
      </c>
    </row>
    <row r="40" spans="1:12" ht="27" customHeight="1" x14ac:dyDescent="0.25">
      <c r="A40" s="11"/>
      <c r="B40" s="5">
        <v>36</v>
      </c>
      <c r="C40" s="6" t="s">
        <v>80</v>
      </c>
      <c r="D40" s="5">
        <v>3</v>
      </c>
      <c r="E40" s="5">
        <v>2</v>
      </c>
      <c r="F40" s="5">
        <v>0</v>
      </c>
      <c r="G40" s="5">
        <v>3</v>
      </c>
      <c r="H40" s="6" t="s">
        <v>73</v>
      </c>
      <c r="I40" s="6" t="s">
        <v>74</v>
      </c>
      <c r="J40" s="6"/>
      <c r="K40" s="7" t="s">
        <v>89</v>
      </c>
      <c r="L40" s="6" t="s">
        <v>108</v>
      </c>
    </row>
    <row r="41" spans="1:12" ht="15.95" customHeight="1" x14ac:dyDescent="0.25">
      <c r="A41" s="9" t="s">
        <v>81</v>
      </c>
      <c r="B41" s="5">
        <v>37</v>
      </c>
      <c r="C41" s="6" t="s">
        <v>82</v>
      </c>
      <c r="D41" s="5">
        <v>0</v>
      </c>
      <c r="E41" s="5">
        <v>0</v>
      </c>
      <c r="F41" s="5">
        <v>0</v>
      </c>
      <c r="G41" s="5">
        <v>3</v>
      </c>
      <c r="H41" s="6"/>
      <c r="I41" s="6"/>
      <c r="J41" s="6"/>
      <c r="K41" s="6" t="s">
        <v>16</v>
      </c>
      <c r="L41" s="6"/>
    </row>
    <row r="42" spans="1:12" ht="15.95" customHeight="1" x14ac:dyDescent="0.25">
      <c r="A42" s="10"/>
      <c r="B42" s="5">
        <v>38</v>
      </c>
      <c r="C42" s="6" t="s">
        <v>83</v>
      </c>
      <c r="D42" s="5">
        <v>0</v>
      </c>
      <c r="E42" s="5">
        <v>2</v>
      </c>
      <c r="F42" s="5">
        <v>1</v>
      </c>
      <c r="G42" s="5">
        <v>3</v>
      </c>
      <c r="H42" s="6"/>
      <c r="I42" s="6"/>
      <c r="J42" s="6"/>
      <c r="K42" s="6" t="s">
        <v>16</v>
      </c>
      <c r="L42" s="6"/>
    </row>
    <row r="43" spans="1:12" ht="15.95" customHeight="1" x14ac:dyDescent="0.25">
      <c r="A43" s="10"/>
      <c r="B43" s="5">
        <v>39</v>
      </c>
      <c r="C43" s="6" t="s">
        <v>84</v>
      </c>
      <c r="D43" s="5">
        <v>0</v>
      </c>
      <c r="E43" s="5">
        <v>0</v>
      </c>
      <c r="F43" s="5">
        <v>0</v>
      </c>
      <c r="G43" s="5">
        <v>3</v>
      </c>
      <c r="H43" s="6"/>
      <c r="I43" s="6"/>
      <c r="J43" s="6"/>
      <c r="K43" s="6" t="s">
        <v>16</v>
      </c>
      <c r="L43" s="6"/>
    </row>
    <row r="44" spans="1:12" ht="15.95" customHeight="1" x14ac:dyDescent="0.25">
      <c r="A44" s="10"/>
      <c r="B44" s="5">
        <v>40</v>
      </c>
      <c r="C44" s="6" t="s">
        <v>85</v>
      </c>
      <c r="D44" s="5">
        <v>3</v>
      </c>
      <c r="E44" s="5">
        <v>2</v>
      </c>
      <c r="F44" s="5">
        <v>1</v>
      </c>
      <c r="G44" s="5">
        <v>3</v>
      </c>
      <c r="H44" s="6"/>
      <c r="I44" s="6"/>
      <c r="J44" s="6"/>
      <c r="K44" s="6" t="s">
        <v>16</v>
      </c>
      <c r="L44" s="6"/>
    </row>
    <row r="45" spans="1:12" ht="15.95" customHeight="1" x14ac:dyDescent="0.25">
      <c r="A45" s="10"/>
      <c r="B45" s="5">
        <v>41</v>
      </c>
      <c r="C45" s="6" t="s">
        <v>86</v>
      </c>
      <c r="D45" s="5">
        <v>2</v>
      </c>
      <c r="E45" s="5">
        <v>0</v>
      </c>
      <c r="F45" s="5">
        <v>0</v>
      </c>
      <c r="G45" s="5">
        <v>3</v>
      </c>
      <c r="H45" s="6"/>
      <c r="I45" s="6"/>
      <c r="J45" s="6"/>
      <c r="K45" s="6" t="s">
        <v>16</v>
      </c>
      <c r="L45" s="6"/>
    </row>
    <row r="46" spans="1:12" ht="15.95" customHeight="1" x14ac:dyDescent="0.25">
      <c r="A46" s="11"/>
      <c r="B46" s="5">
        <v>42</v>
      </c>
      <c r="C46" s="6" t="s">
        <v>87</v>
      </c>
      <c r="D46" s="5">
        <v>2</v>
      </c>
      <c r="E46" s="5">
        <v>2</v>
      </c>
      <c r="F46" s="5">
        <v>1</v>
      </c>
      <c r="G46" s="5">
        <v>3</v>
      </c>
      <c r="H46" s="6"/>
      <c r="I46" s="6"/>
      <c r="J46" s="6"/>
      <c r="K46" s="6" t="s">
        <v>16</v>
      </c>
      <c r="L46" s="6"/>
    </row>
    <row r="47" spans="1:12" x14ac:dyDescent="0.25">
      <c r="A47" s="8"/>
      <c r="B47" s="8"/>
      <c r="C47" s="8" t="s">
        <v>88</v>
      </c>
      <c r="D47" s="8">
        <f>SUM(D5:D46)</f>
        <v>97</v>
      </c>
      <c r="E47" s="8">
        <f>SUM(E5:E46)</f>
        <v>62</v>
      </c>
      <c r="F47" s="8">
        <f>SUM(F5:F46)</f>
        <v>31</v>
      </c>
      <c r="G47" s="8">
        <f>SUM(G5:G46)</f>
        <v>126</v>
      </c>
      <c r="H47" s="8"/>
      <c r="I47" s="8"/>
      <c r="J47" s="8"/>
      <c r="K47" s="8"/>
      <c r="L47" s="8"/>
    </row>
  </sheetData>
  <autoFilter ref="A4:L46" xr:uid="{00000000-0009-0000-0000-000000000000}"/>
  <mergeCells count="8">
    <mergeCell ref="A5:A14"/>
    <mergeCell ref="A21:A22"/>
    <mergeCell ref="A41:A46"/>
    <mergeCell ref="A34:A36"/>
    <mergeCell ref="A15:A20"/>
    <mergeCell ref="A23:A29"/>
    <mergeCell ref="A30:A33"/>
    <mergeCell ref="A37:A40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Tracking</vt:lpstr>
      <vt:lpstr>Tracking!Print_Titles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Nazaruddin</cp:lastModifiedBy>
  <dcterms:created xsi:type="dcterms:W3CDTF">2026-10-19T13:23:09Z</dcterms:created>
  <dcterms:modified xsi:type="dcterms:W3CDTF">2026-10-19T14:18:22Z</dcterms:modified>
</cp:coreProperties>
</file>